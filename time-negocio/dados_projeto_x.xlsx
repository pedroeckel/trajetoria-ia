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Semanal" sheetId="1" state="visible" r:id="rId3"/>
    <sheet name="Atividades" sheetId="2" state="visible" r:id="rId4"/>
    <sheet name="Indicadores de Qualida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<sst xmlns="http://schemas.openxmlformats.org/spreadsheetml/2006/main" count="139" uniqueCount="102">
  <si>
    <t xml:space="preserve">PROJETO X — DASHBOARD DE INDICADORES SEMANAIS</t>
  </si>
  <si>
    <t xml:space="preserve">Trajetória Consultoria | Janeiro–Março 2026</t>
  </si>
  <si>
    <t xml:space="preserve">Semana</t>
  </si>
  <si>
    <t xml:space="preserve">Início</t>
  </si>
  <si>
    <t xml:space="preserve">Horas
Planejadas</t>
  </si>
  <si>
    <t xml:space="preserve">Horas
Realizadas</t>
  </si>
  <si>
    <t xml:space="preserve">Entregas
Previstas</t>
  </si>
  <si>
    <t xml:space="preserve">Entregas
Realizadas</t>
  </si>
  <si>
    <t xml:space="preserve">Budget
Utilizado (%)</t>
  </si>
  <si>
    <t xml:space="preserve">Desvio
Horas</t>
  </si>
  <si>
    <t xml:space="preserve">Desvio
Entregas</t>
  </si>
  <si>
    <t xml:space="preserve">Status</t>
  </si>
  <si>
    <t xml:space="preserve">05/01/2026</t>
  </si>
  <si>
    <t xml:space="preserve">🟢 No prazo</t>
  </si>
  <si>
    <t xml:space="preserve">12/01/2026</t>
  </si>
  <si>
    <t xml:space="preserve">🟡 Atenção</t>
  </si>
  <si>
    <t xml:space="preserve">19/01/2026</t>
  </si>
  <si>
    <t xml:space="preserve">26/01/2026</t>
  </si>
  <si>
    <t xml:space="preserve">🔴 Em risco</t>
  </si>
  <si>
    <t xml:space="preserve">02/02/2026</t>
  </si>
  <si>
    <t xml:space="preserve">09/02/2026</t>
  </si>
  <si>
    <t xml:space="preserve">16/02/2026</t>
  </si>
  <si>
    <t xml:space="preserve">23/02/2026</t>
  </si>
  <si>
    <t xml:space="preserve">02/03/2026</t>
  </si>
  <si>
    <t xml:space="preserve">09/03/2026</t>
  </si>
  <si>
    <t xml:space="preserve">16/03/2026</t>
  </si>
  <si>
    <t xml:space="preserve">23/03/2026</t>
  </si>
  <si>
    <t xml:space="preserve">TOTAL / MÉDIA</t>
  </si>
  <si>
    <t xml:space="preserve">PROJETO X — DETALHAMENTO DE ATIVIDADES</t>
  </si>
  <si>
    <t xml:space="preserve">Fase</t>
  </si>
  <si>
    <t xml:space="preserve">Atividade</t>
  </si>
  <si>
    <t xml:space="preserve">Responsável</t>
  </si>
  <si>
    <t xml:space="preserve">Horas
Estimadas</t>
  </si>
  <si>
    <t xml:space="preserve">Horas
Reais</t>
  </si>
  <si>
    <t xml:space="preserve">% Concluído</t>
  </si>
  <si>
    <t xml:space="preserve">Prazo
Previsto</t>
  </si>
  <si>
    <t xml:space="preserve">Observações</t>
  </si>
  <si>
    <t xml:space="preserve">Diagnóstico</t>
  </si>
  <si>
    <t xml:space="preserve">Mapeamento de processos atuais</t>
  </si>
  <si>
    <t xml:space="preserve">Ana Lima</t>
  </si>
  <si>
    <t xml:space="preserve">Concluído</t>
  </si>
  <si>
    <t xml:space="preserve">15/01/2026</t>
  </si>
  <si>
    <t xml:space="preserve">Entrevistas com stakeholders</t>
  </si>
  <si>
    <t xml:space="preserve">Carlos Melo</t>
  </si>
  <si>
    <t xml:space="preserve">20/01/2026</t>
  </si>
  <si>
    <t xml:space="preserve">2h extras para alinhar expectativas</t>
  </si>
  <si>
    <t xml:space="preserve">Documento de arquitetura-alvo</t>
  </si>
  <si>
    <t xml:space="preserve">Pedro Souza</t>
  </si>
  <si>
    <t xml:space="preserve">30/01/2026</t>
  </si>
  <si>
    <t xml:space="preserve">Aprovado pela diretoria em 02/02</t>
  </si>
  <si>
    <t xml:space="preserve">Implementação</t>
  </si>
  <si>
    <t xml:space="preserve">Configuração do ambiente de agentes</t>
  </si>
  <si>
    <t xml:space="preserve">Lucas Tech</t>
  </si>
  <si>
    <t xml:space="preserve">14/02/2026</t>
  </si>
  <si>
    <t xml:space="preserve">Desenvolvimento do agente principal</t>
  </si>
  <si>
    <t xml:space="preserve">Em andamento</t>
  </si>
  <si>
    <t xml:space="preserve">28/03/2026</t>
  </si>
  <si>
    <t xml:space="preserve">Integração com ERP ainda pendente</t>
  </si>
  <si>
    <t xml:space="preserve">Integração com sistemas legados</t>
  </si>
  <si>
    <t xml:space="preserve">31/03/2026</t>
  </si>
  <si>
    <t xml:space="preserve">Dependência de credenciais do cliente</t>
  </si>
  <si>
    <t xml:space="preserve">Testes de homologação</t>
  </si>
  <si>
    <t xml:space="preserve">Pendente</t>
  </si>
  <si>
    <t xml:space="preserve">15/04/2026</t>
  </si>
  <si>
    <t xml:space="preserve">Aguarda entrega do agente principal</t>
  </si>
  <si>
    <t xml:space="preserve">Documentação técnica</t>
  </si>
  <si>
    <t xml:space="preserve">Estabilização</t>
  </si>
  <si>
    <t xml:space="preserve">Treinamento do time cliente</t>
  </si>
  <si>
    <t xml:space="preserve">30/04/2026</t>
  </si>
  <si>
    <t xml:space="preserve">Monitoramento pós-go-live</t>
  </si>
  <si>
    <t xml:space="preserve">15/05/2026</t>
  </si>
  <si>
    <t xml:space="preserve">Relatório final e handoff</t>
  </si>
  <si>
    <t xml:space="preserve">20/05/2026</t>
  </si>
  <si>
    <t xml:space="preserve">TOTAL</t>
  </si>
  <si>
    <t xml:space="preserve">PROJETO X — INDICADORES DE QUALIDADE</t>
  </si>
  <si>
    <t xml:space="preserve">Referência: março/2026</t>
  </si>
  <si>
    <t xml:space="preserve">Indicador</t>
  </si>
  <si>
    <t xml:space="preserve">Descrição</t>
  </si>
  <si>
    <t xml:space="preserve">Meta</t>
  </si>
  <si>
    <t xml:space="preserve">Realizado</t>
  </si>
  <si>
    <t xml:space="preserve">Variação</t>
  </si>
  <si>
    <t xml:space="preserve">Taxa de entrega no prazo</t>
  </si>
  <si>
    <t xml:space="preserve">% de entregas realizadas até a data prevista</t>
  </si>
  <si>
    <t xml:space="preserve">Desvio médio de horas</t>
  </si>
  <si>
    <t xml:space="preserve">Diferença média entre horas estimadas e realizadas</t>
  </si>
  <si>
    <t xml:space="preserve">Taxa de retrabalho</t>
  </si>
  <si>
    <t xml:space="preserve">% de itens que precisaram de correção após entrega</t>
  </si>
  <si>
    <t xml:space="preserve">Satisfação do cliente</t>
  </si>
  <si>
    <t xml:space="preserve">Nota de satisfação (escala 0–10) — pesquisa quinzenal</t>
  </si>
  <si>
    <t xml:space="preserve">Cobertura de testes</t>
  </si>
  <si>
    <t xml:space="preserve">% do código coberto por testes automatizados</t>
  </si>
  <si>
    <t xml:space="preserve">Tempo médio de bug fix</t>
  </si>
  <si>
    <t xml:space="preserve">Dias para correção de bug após identificação</t>
  </si>
  <si>
    <t xml:space="preserve">Taxa de falha em produção</t>
  </si>
  <si>
    <t xml:space="preserve">% de execuções que falham em ambiente de produção</t>
  </si>
  <si>
    <t xml:space="preserve">Adoção pelo time cliente</t>
  </si>
  <si>
    <t xml:space="preserve">% de usuários ativos / usuários treinados</t>
  </si>
  <si>
    <t xml:space="preserve">Documentação atualizada</t>
  </si>
  <si>
    <t xml:space="preserve">% de módulos com documentação revisada e aprovada</t>
  </si>
  <si>
    <t xml:space="preserve">Velocidade de entrega</t>
  </si>
  <si>
    <t xml:space="preserve">Story points entregues por semana</t>
  </si>
  <si>
    <t xml:space="preserve">Legenda:  🟢 No prazo — dentro da meta    🟡 Atenção — desvio até 20%    🔴 Em risco — desvio acima de 20%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</si>
</sst>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+#,##0;\-#,##0;\-"/>
    <numFmt numFmtId="167" formatCode="0%"/>
    <numFmt numFmtId="168" formatCode="\+0.0%;\-0.0%;\-"/>
    <numFmt numFmtId="169" formatCode="\+0.0;\-0.0;\-"/>
    <numFmt numFmtId="170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8" hidden="false" customHeight="true" outlineLevel="0" collapsed="false">
      <c r="A5" s="4" t="n">
        <v>1</v>
      </c>
      <c r="B5" s="4" t="s">
        <v>12</v>
      </c>
      <c r="C5" s="4" t="n">
        <v>80</v>
      </c>
      <c r="D5" s="4" t="n">
        <v>72</v>
      </c>
      <c r="E5" s="4" t="n">
        <v>5</v>
      </c>
      <c r="F5" s="4" t="n">
        <v>5</v>
      </c>
      <c r="G5" s="5" t="n">
        <v>0.125</v>
      </c>
      <c r="H5" s="6" t="n">
        <f aca="false">D5-C5</f>
        <v>-8</v>
      </c>
      <c r="I5" s="6" t="n">
        <f aca="false">F5-E5</f>
        <v>0</v>
      </c>
      <c r="J5" s="7" t="s">
        <v>13</v>
      </c>
    </row>
    <row r="6" customFormat="false" ht="18" hidden="false" customHeight="true" outlineLevel="0" collapsed="false">
      <c r="A6" s="8" t="n">
        <v>2</v>
      </c>
      <c r="B6" s="8" t="s">
        <v>14</v>
      </c>
      <c r="C6" s="8" t="n">
        <v>80</v>
      </c>
      <c r="D6" s="8" t="n">
        <v>85</v>
      </c>
      <c r="E6" s="8" t="n">
        <v>6</v>
      </c>
      <c r="F6" s="8" t="n">
        <v>5</v>
      </c>
      <c r="G6" s="9" t="n">
        <v>0.148</v>
      </c>
      <c r="H6" s="10" t="n">
        <f aca="false">D6-C6</f>
        <v>5</v>
      </c>
      <c r="I6" s="11" t="n">
        <f aca="false">F6-E6</f>
        <v>-1</v>
      </c>
      <c r="J6" s="12" t="s">
        <v>15</v>
      </c>
    </row>
    <row r="7" customFormat="false" ht="18" hidden="false" customHeight="true" outlineLevel="0" collapsed="false">
      <c r="A7" s="4" t="n">
        <v>3</v>
      </c>
      <c r="B7" s="4" t="s">
        <v>16</v>
      </c>
      <c r="C7" s="4" t="n">
        <v>80</v>
      </c>
      <c r="D7" s="4" t="n">
        <v>78</v>
      </c>
      <c r="E7" s="4" t="n">
        <v>5</v>
      </c>
      <c r="F7" s="4" t="n">
        <v>6</v>
      </c>
      <c r="G7" s="5" t="n">
        <v>0.132</v>
      </c>
      <c r="H7" s="6" t="n">
        <f aca="false">D7-C7</f>
        <v>-2</v>
      </c>
      <c r="I7" s="6" t="n">
        <f aca="false">F7-E7</f>
        <v>1</v>
      </c>
      <c r="J7" s="7" t="s">
        <v>13</v>
      </c>
    </row>
    <row r="8" customFormat="false" ht="18" hidden="false" customHeight="true" outlineLevel="0" collapsed="false">
      <c r="A8" s="8" t="n">
        <v>4</v>
      </c>
      <c r="B8" s="8" t="s">
        <v>17</v>
      </c>
      <c r="C8" s="8" t="n">
        <v>80</v>
      </c>
      <c r="D8" s="8" t="n">
        <v>90</v>
      </c>
      <c r="E8" s="8" t="n">
        <v>6</v>
      </c>
      <c r="F8" s="8" t="n">
        <v>4</v>
      </c>
      <c r="G8" s="9" t="n">
        <v>0.161</v>
      </c>
      <c r="H8" s="11" t="n">
        <f aca="false">D8-C8</f>
        <v>10</v>
      </c>
      <c r="I8" s="11" t="n">
        <f aca="false">F8-E8</f>
        <v>-2</v>
      </c>
      <c r="J8" s="13" t="s">
        <v>18</v>
      </c>
    </row>
    <row r="9" customFormat="false" ht="18" hidden="false" customHeight="true" outlineLevel="0" collapsed="false">
      <c r="A9" s="4" t="n">
        <v>5</v>
      </c>
      <c r="B9" s="4" t="s">
        <v>19</v>
      </c>
      <c r="C9" s="4" t="n">
        <v>80</v>
      </c>
      <c r="D9" s="4" t="n">
        <v>76</v>
      </c>
      <c r="E9" s="4" t="n">
        <v>5</v>
      </c>
      <c r="F9" s="4" t="n">
        <v>5</v>
      </c>
      <c r="G9" s="5" t="n">
        <v>0.13</v>
      </c>
      <c r="H9" s="6" t="n">
        <f aca="false">D9-C9</f>
        <v>-4</v>
      </c>
      <c r="I9" s="6" t="n">
        <f aca="false">F9-E9</f>
        <v>0</v>
      </c>
      <c r="J9" s="7" t="s">
        <v>13</v>
      </c>
    </row>
    <row r="10" customFormat="false" ht="18" hidden="false" customHeight="true" outlineLevel="0" collapsed="false">
      <c r="A10" s="8" t="n">
        <v>6</v>
      </c>
      <c r="B10" s="8" t="s">
        <v>20</v>
      </c>
      <c r="C10" s="8" t="n">
        <v>80</v>
      </c>
      <c r="D10" s="8" t="n">
        <v>82</v>
      </c>
      <c r="E10" s="8" t="n">
        <v>6</v>
      </c>
      <c r="F10" s="8" t="n">
        <v>6</v>
      </c>
      <c r="G10" s="9" t="n">
        <v>0.142</v>
      </c>
      <c r="H10" s="10" t="n">
        <f aca="false">D10-C10</f>
        <v>2</v>
      </c>
      <c r="I10" s="10" t="n">
        <f aca="false">F10-E10</f>
        <v>0</v>
      </c>
      <c r="J10" s="7" t="s">
        <v>13</v>
      </c>
    </row>
    <row r="11" customFormat="false" ht="18" hidden="false" customHeight="true" outlineLevel="0" collapsed="false">
      <c r="A11" s="4" t="n">
        <v>7</v>
      </c>
      <c r="B11" s="4" t="s">
        <v>21</v>
      </c>
      <c r="C11" s="4" t="n">
        <v>80</v>
      </c>
      <c r="D11" s="4" t="n">
        <v>95</v>
      </c>
      <c r="E11" s="4" t="n">
        <v>5</v>
      </c>
      <c r="F11" s="4" t="n">
        <v>4</v>
      </c>
      <c r="G11" s="5" t="n">
        <v>0.175</v>
      </c>
      <c r="H11" s="14" t="n">
        <f aca="false">D11-C11</f>
        <v>15</v>
      </c>
      <c r="I11" s="14" t="n">
        <f aca="false">F11-E11</f>
        <v>-1</v>
      </c>
      <c r="J11" s="13" t="s">
        <v>18</v>
      </c>
    </row>
    <row r="12" customFormat="false" ht="18" hidden="false" customHeight="true" outlineLevel="0" collapsed="false">
      <c r="A12" s="8" t="n">
        <v>8</v>
      </c>
      <c r="B12" s="8" t="s">
        <v>22</v>
      </c>
      <c r="C12" s="8" t="n">
        <v>80</v>
      </c>
      <c r="D12" s="8" t="n">
        <v>88</v>
      </c>
      <c r="E12" s="8" t="n">
        <v>6</v>
      </c>
      <c r="F12" s="8" t="n">
        <v>5</v>
      </c>
      <c r="G12" s="9" t="n">
        <v>0.158</v>
      </c>
      <c r="H12" s="10" t="n">
        <f aca="false">D12-C12</f>
        <v>8</v>
      </c>
      <c r="I12" s="11" t="n">
        <f aca="false">F12-E12</f>
        <v>-1</v>
      </c>
      <c r="J12" s="12" t="s">
        <v>15</v>
      </c>
    </row>
    <row r="13" customFormat="false" ht="18" hidden="false" customHeight="true" outlineLevel="0" collapsed="false">
      <c r="A13" s="4" t="n">
        <v>9</v>
      </c>
      <c r="B13" s="4" t="s">
        <v>23</v>
      </c>
      <c r="C13" s="4" t="n">
        <v>80</v>
      </c>
      <c r="D13" s="4" t="n">
        <v>74</v>
      </c>
      <c r="E13" s="4" t="n">
        <v>5</v>
      </c>
      <c r="F13" s="4" t="n">
        <v>5</v>
      </c>
      <c r="G13" s="5" t="n">
        <v>0.128</v>
      </c>
      <c r="H13" s="6" t="n">
        <f aca="false">D13-C13</f>
        <v>-6</v>
      </c>
      <c r="I13" s="6" t="n">
        <f aca="false">F13-E13</f>
        <v>0</v>
      </c>
      <c r="J13" s="7" t="s">
        <v>13</v>
      </c>
    </row>
    <row r="14" customFormat="false" ht="18" hidden="false" customHeight="true" outlineLevel="0" collapsed="false">
      <c r="A14" s="8" t="n">
        <v>10</v>
      </c>
      <c r="B14" s="8" t="s">
        <v>24</v>
      </c>
      <c r="C14" s="8" t="n">
        <v>80</v>
      </c>
      <c r="D14" s="8" t="n">
        <v>91</v>
      </c>
      <c r="E14" s="8" t="n">
        <v>6</v>
      </c>
      <c r="F14" s="8" t="n">
        <v>5</v>
      </c>
      <c r="G14" s="9" t="n">
        <v>0.164</v>
      </c>
      <c r="H14" s="11" t="n">
        <f aca="false">D14-C14</f>
        <v>11</v>
      </c>
      <c r="I14" s="11" t="n">
        <f aca="false">F14-E14</f>
        <v>-1</v>
      </c>
      <c r="J14" s="13" t="s">
        <v>18</v>
      </c>
    </row>
    <row r="15" customFormat="false" ht="18" hidden="false" customHeight="true" outlineLevel="0" collapsed="false">
      <c r="A15" s="4" t="n">
        <v>11</v>
      </c>
      <c r="B15" s="4" t="s">
        <v>25</v>
      </c>
      <c r="C15" s="4" t="n">
        <v>80</v>
      </c>
      <c r="D15" s="4" t="n">
        <v>86</v>
      </c>
      <c r="E15" s="4" t="n">
        <v>5</v>
      </c>
      <c r="F15" s="4" t="n">
        <v>4</v>
      </c>
      <c r="G15" s="5" t="n">
        <v>0.151</v>
      </c>
      <c r="H15" s="6" t="n">
        <f aca="false">D15-C15</f>
        <v>6</v>
      </c>
      <c r="I15" s="14" t="n">
        <f aca="false">F15-E15</f>
        <v>-1</v>
      </c>
      <c r="J15" s="12" t="s">
        <v>15</v>
      </c>
    </row>
    <row r="16" customFormat="false" ht="18" hidden="false" customHeight="true" outlineLevel="0" collapsed="false">
      <c r="A16" s="8" t="n">
        <v>12</v>
      </c>
      <c r="B16" s="8" t="s">
        <v>26</v>
      </c>
      <c r="C16" s="8" t="n">
        <v>80</v>
      </c>
      <c r="D16" s="8" t="n">
        <v>79</v>
      </c>
      <c r="E16" s="8" t="n">
        <v>6</v>
      </c>
      <c r="F16" s="8" t="n">
        <v>6</v>
      </c>
      <c r="G16" s="9" t="n">
        <v>0.137</v>
      </c>
      <c r="H16" s="10" t="n">
        <f aca="false">D16-C16</f>
        <v>-1</v>
      </c>
      <c r="I16" s="10" t="n">
        <f aca="false">F16-E16</f>
        <v>0</v>
      </c>
      <c r="J16" s="7" t="s">
        <v>13</v>
      </c>
    </row>
    <row r="17" customFormat="false" ht="15" hidden="false" customHeight="false" outlineLevel="0" collapsed="false">
      <c r="A17" s="15" t="s">
        <v>27</v>
      </c>
      <c r="B17" s="15"/>
      <c r="C17" s="15" t="n">
        <f aca="false">SUM(C5:C16)</f>
        <v>960</v>
      </c>
      <c r="D17" s="15" t="n">
        <f aca="false">SUM(D5:D16)</f>
        <v>996</v>
      </c>
      <c r="E17" s="15" t="n">
        <f aca="false">SUM(E5:E16)</f>
        <v>66</v>
      </c>
      <c r="F17" s="15" t="n">
        <f aca="false">SUM(F5:F16)</f>
        <v>60</v>
      </c>
      <c r="G17" s="16" t="n">
        <f aca="false">AVERAGE(G5:G16)</f>
        <v>0.145916666666667</v>
      </c>
      <c r="H17" s="17" t="n">
        <f aca="false">SUM(H5:H16)</f>
        <v>36</v>
      </c>
      <c r="I17" s="17" t="n">
        <f aca="false">SUM(I5:I16)</f>
        <v>-6</v>
      </c>
      <c r="J17" s="15"/>
    </row>
  </sheetData>
  <mergeCells count="3">
    <mergeCell ref="A1:J1"/>
    <mergeCell ref="A2:J2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</row>
    <row r="3" customFormat="false" ht="36" hidden="false" customHeight="true" outlineLevel="0" collapsed="false">
      <c r="A3" s="3" t="s">
        <v>29</v>
      </c>
      <c r="B3" s="3" t="s">
        <v>30</v>
      </c>
      <c r="C3" s="3" t="s">
        <v>31</v>
      </c>
      <c r="D3" s="3" t="s">
        <v>11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</row>
    <row r="4" customFormat="false" ht="19.5" hidden="false" customHeight="true" outlineLevel="0" collapsed="false">
      <c r="A4" s="18" t="s">
        <v>37</v>
      </c>
      <c r="B4" s="19" t="s">
        <v>38</v>
      </c>
      <c r="C4" s="18" t="s">
        <v>39</v>
      </c>
      <c r="D4" s="20" t="s">
        <v>40</v>
      </c>
      <c r="E4" s="18" t="n">
        <v>16</v>
      </c>
      <c r="F4" s="18" t="n">
        <v>18</v>
      </c>
      <c r="G4" s="21" t="n">
        <v>1</v>
      </c>
      <c r="H4" s="18" t="s">
        <v>41</v>
      </c>
      <c r="I4" s="19"/>
    </row>
    <row r="5" customFormat="false" ht="19.5" hidden="false" customHeight="true" outlineLevel="0" collapsed="false">
      <c r="A5" s="22"/>
      <c r="B5" s="23" t="s">
        <v>42</v>
      </c>
      <c r="C5" s="22" t="s">
        <v>43</v>
      </c>
      <c r="D5" s="20" t="s">
        <v>40</v>
      </c>
      <c r="E5" s="22" t="n">
        <v>12</v>
      </c>
      <c r="F5" s="22" t="n">
        <v>14</v>
      </c>
      <c r="G5" s="24" t="n">
        <v>1</v>
      </c>
      <c r="H5" s="22" t="s">
        <v>44</v>
      </c>
      <c r="I5" s="23" t="s">
        <v>45</v>
      </c>
    </row>
    <row r="6" customFormat="false" ht="19.5" hidden="false" customHeight="true" outlineLevel="0" collapsed="false">
      <c r="A6" s="18"/>
      <c r="B6" s="19" t="s">
        <v>46</v>
      </c>
      <c r="C6" s="18" t="s">
        <v>47</v>
      </c>
      <c r="D6" s="20" t="s">
        <v>40</v>
      </c>
      <c r="E6" s="18" t="n">
        <v>20</v>
      </c>
      <c r="F6" s="18" t="n">
        <v>22</v>
      </c>
      <c r="G6" s="21" t="n">
        <v>1</v>
      </c>
      <c r="H6" s="18" t="s">
        <v>48</v>
      </c>
      <c r="I6" s="19" t="s">
        <v>49</v>
      </c>
    </row>
    <row r="7" customFormat="false" ht="19.5" hidden="false" customHeight="true" outlineLevel="0" collapsed="false">
      <c r="A7" s="22" t="s">
        <v>50</v>
      </c>
      <c r="B7" s="23" t="s">
        <v>51</v>
      </c>
      <c r="C7" s="22" t="s">
        <v>52</v>
      </c>
      <c r="D7" s="20" t="s">
        <v>40</v>
      </c>
      <c r="E7" s="22" t="n">
        <v>24</v>
      </c>
      <c r="F7" s="22" t="n">
        <v>20</v>
      </c>
      <c r="G7" s="24" t="n">
        <v>1</v>
      </c>
      <c r="H7" s="22" t="s">
        <v>53</v>
      </c>
      <c r="I7" s="23"/>
    </row>
    <row r="8" customFormat="false" ht="19.5" hidden="false" customHeight="true" outlineLevel="0" collapsed="false">
      <c r="A8" s="18"/>
      <c r="B8" s="19" t="s">
        <v>54</v>
      </c>
      <c r="C8" s="18" t="s">
        <v>52</v>
      </c>
      <c r="D8" s="25" t="s">
        <v>55</v>
      </c>
      <c r="E8" s="18" t="n">
        <v>60</v>
      </c>
      <c r="F8" s="18" t="n">
        <v>48</v>
      </c>
      <c r="G8" s="21" t="n">
        <v>0.8</v>
      </c>
      <c r="H8" s="18" t="s">
        <v>56</v>
      </c>
      <c r="I8" s="19" t="s">
        <v>57</v>
      </c>
    </row>
    <row r="9" customFormat="false" ht="19.5" hidden="false" customHeight="true" outlineLevel="0" collapsed="false">
      <c r="A9" s="22"/>
      <c r="B9" s="23" t="s">
        <v>58</v>
      </c>
      <c r="C9" s="22" t="s">
        <v>39</v>
      </c>
      <c r="D9" s="25" t="s">
        <v>55</v>
      </c>
      <c r="E9" s="22" t="n">
        <v>40</v>
      </c>
      <c r="F9" s="22" t="n">
        <v>35</v>
      </c>
      <c r="G9" s="24" t="n">
        <v>0.65</v>
      </c>
      <c r="H9" s="22" t="s">
        <v>59</v>
      </c>
      <c r="I9" s="23" t="s">
        <v>60</v>
      </c>
    </row>
    <row r="10" customFormat="false" ht="19.5" hidden="false" customHeight="true" outlineLevel="0" collapsed="false">
      <c r="A10" s="18"/>
      <c r="B10" s="19" t="s">
        <v>61</v>
      </c>
      <c r="C10" s="18" t="s">
        <v>43</v>
      </c>
      <c r="D10" s="26" t="s">
        <v>62</v>
      </c>
      <c r="E10" s="18" t="n">
        <v>32</v>
      </c>
      <c r="F10" s="18" t="n">
        <v>0</v>
      </c>
      <c r="G10" s="21" t="n">
        <v>0</v>
      </c>
      <c r="H10" s="18" t="s">
        <v>63</v>
      </c>
      <c r="I10" s="19" t="s">
        <v>64</v>
      </c>
    </row>
    <row r="11" customFormat="false" ht="19.5" hidden="false" customHeight="true" outlineLevel="0" collapsed="false">
      <c r="A11" s="22"/>
      <c r="B11" s="23" t="s">
        <v>65</v>
      </c>
      <c r="C11" s="22" t="s">
        <v>47</v>
      </c>
      <c r="D11" s="25" t="s">
        <v>55</v>
      </c>
      <c r="E11" s="22" t="n">
        <v>16</v>
      </c>
      <c r="F11" s="22" t="n">
        <v>6</v>
      </c>
      <c r="G11" s="24" t="n">
        <v>0.38</v>
      </c>
      <c r="H11" s="22" t="s">
        <v>59</v>
      </c>
      <c r="I11" s="23"/>
    </row>
    <row r="12" customFormat="false" ht="19.5" hidden="false" customHeight="true" outlineLevel="0" collapsed="false">
      <c r="A12" s="18" t="s">
        <v>66</v>
      </c>
      <c r="B12" s="19" t="s">
        <v>67</v>
      </c>
      <c r="C12" s="18" t="s">
        <v>39</v>
      </c>
      <c r="D12" s="26" t="s">
        <v>62</v>
      </c>
      <c r="E12" s="18" t="n">
        <v>20</v>
      </c>
      <c r="F12" s="18" t="n">
        <v>0</v>
      </c>
      <c r="G12" s="21" t="n">
        <v>0</v>
      </c>
      <c r="H12" s="18" t="s">
        <v>68</v>
      </c>
      <c r="I12" s="19"/>
    </row>
    <row r="13" customFormat="false" ht="19.5" hidden="false" customHeight="true" outlineLevel="0" collapsed="false">
      <c r="A13" s="22"/>
      <c r="B13" s="23" t="s">
        <v>69</v>
      </c>
      <c r="C13" s="22" t="s">
        <v>52</v>
      </c>
      <c r="D13" s="26" t="s">
        <v>62</v>
      </c>
      <c r="E13" s="22" t="n">
        <v>24</v>
      </c>
      <c r="F13" s="22" t="n">
        <v>0</v>
      </c>
      <c r="G13" s="24" t="n">
        <v>0</v>
      </c>
      <c r="H13" s="22" t="s">
        <v>70</v>
      </c>
      <c r="I13" s="23"/>
    </row>
    <row r="14" customFormat="false" ht="19.5" hidden="false" customHeight="true" outlineLevel="0" collapsed="false">
      <c r="A14" s="18"/>
      <c r="B14" s="19" t="s">
        <v>71</v>
      </c>
      <c r="C14" s="18" t="s">
        <v>43</v>
      </c>
      <c r="D14" s="26" t="s">
        <v>62</v>
      </c>
      <c r="E14" s="18" t="n">
        <v>8</v>
      </c>
      <c r="F14" s="18" t="n">
        <v>0</v>
      </c>
      <c r="G14" s="21" t="n">
        <v>0</v>
      </c>
      <c r="H14" s="18" t="s">
        <v>72</v>
      </c>
      <c r="I14" s="19"/>
    </row>
    <row r="15" customFormat="false" ht="15" hidden="false" customHeight="false" outlineLevel="0" collapsed="false">
      <c r="A15" s="27" t="s">
        <v>73</v>
      </c>
      <c r="B15" s="27"/>
      <c r="C15" s="27"/>
      <c r="D15" s="27"/>
      <c r="E15" s="15" t="n">
        <f aca="false">SUM(E4:E14)</f>
        <v>272</v>
      </c>
      <c r="F15" s="15" t="n">
        <f aca="false">SUM(F4:F14)</f>
        <v>163</v>
      </c>
      <c r="G15" s="28" t="n">
        <f aca="false">IFERROR(F15/E15,0)</f>
        <v>0.599264705882353</v>
      </c>
      <c r="H15" s="15"/>
      <c r="I15" s="15"/>
    </row>
  </sheetData>
  <mergeCells count="2">
    <mergeCell ref="A1:I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75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11</v>
      </c>
    </row>
    <row r="5" customFormat="false" ht="21.75" hidden="false" customHeight="true" outlineLevel="0" collapsed="false">
      <c r="A5" s="19" t="s">
        <v>81</v>
      </c>
      <c r="B5" s="19" t="s">
        <v>82</v>
      </c>
      <c r="C5" s="21" t="n">
        <v>0.85</v>
      </c>
      <c r="D5" s="21" t="n">
        <v>0.72</v>
      </c>
      <c r="E5" s="29" t="n">
        <f aca="false">D5-C5</f>
        <v>-0.13</v>
      </c>
      <c r="F5" s="13" t="s">
        <v>18</v>
      </c>
    </row>
    <row r="6" customFormat="false" ht="21.75" hidden="false" customHeight="true" outlineLevel="0" collapsed="false">
      <c r="A6" s="23" t="s">
        <v>83</v>
      </c>
      <c r="B6" s="23" t="s">
        <v>84</v>
      </c>
      <c r="C6" s="24" t="n">
        <v>0.1</v>
      </c>
      <c r="D6" s="24" t="n">
        <v>0.13</v>
      </c>
      <c r="E6" s="30" t="n">
        <f aca="false">D6-C6</f>
        <v>0.03</v>
      </c>
      <c r="F6" s="12" t="s">
        <v>15</v>
      </c>
    </row>
    <row r="7" customFormat="false" ht="21.75" hidden="false" customHeight="true" outlineLevel="0" collapsed="false">
      <c r="A7" s="19" t="s">
        <v>85</v>
      </c>
      <c r="B7" s="19" t="s">
        <v>86</v>
      </c>
      <c r="C7" s="21" t="n">
        <v>0.1</v>
      </c>
      <c r="D7" s="21" t="n">
        <v>0.08</v>
      </c>
      <c r="E7" s="31" t="n">
        <f aca="false">D7-C7</f>
        <v>-0.02</v>
      </c>
      <c r="F7" s="7" t="s">
        <v>13</v>
      </c>
    </row>
    <row r="8" customFormat="false" ht="21.75" hidden="false" customHeight="true" outlineLevel="0" collapsed="false">
      <c r="A8" s="23" t="s">
        <v>87</v>
      </c>
      <c r="B8" s="23" t="s">
        <v>88</v>
      </c>
      <c r="C8" s="32" t="n">
        <v>8</v>
      </c>
      <c r="D8" s="32" t="n">
        <v>7.4</v>
      </c>
      <c r="E8" s="33" t="n">
        <f aca="false">D8-C8</f>
        <v>-0.6</v>
      </c>
      <c r="F8" s="12" t="s">
        <v>15</v>
      </c>
    </row>
    <row r="9" customFormat="false" ht="21.75" hidden="false" customHeight="true" outlineLevel="0" collapsed="false">
      <c r="A9" s="19" t="s">
        <v>89</v>
      </c>
      <c r="B9" s="19" t="s">
        <v>90</v>
      </c>
      <c r="C9" s="21" t="n">
        <v>0.7</v>
      </c>
      <c r="D9" s="21" t="n">
        <v>0.82</v>
      </c>
      <c r="E9" s="31" t="n">
        <f aca="false">D9-C9</f>
        <v>0.12</v>
      </c>
      <c r="F9" s="7" t="s">
        <v>13</v>
      </c>
    </row>
    <row r="10" customFormat="false" ht="21.75" hidden="false" customHeight="true" outlineLevel="0" collapsed="false">
      <c r="A10" s="23" t="s">
        <v>91</v>
      </c>
      <c r="B10" s="23" t="s">
        <v>92</v>
      </c>
      <c r="C10" s="32" t="n">
        <v>2</v>
      </c>
      <c r="D10" s="32" t="n">
        <v>3.5</v>
      </c>
      <c r="E10" s="30" t="n">
        <f aca="false">D10-C10</f>
        <v>1.5</v>
      </c>
      <c r="F10" s="13" t="s">
        <v>18</v>
      </c>
    </row>
    <row r="11" customFormat="false" ht="21.75" hidden="false" customHeight="true" outlineLevel="0" collapsed="false">
      <c r="A11" s="19" t="s">
        <v>93</v>
      </c>
      <c r="B11" s="19" t="s">
        <v>94</v>
      </c>
      <c r="C11" s="21" t="n">
        <v>0.05</v>
      </c>
      <c r="D11" s="21" t="n">
        <v>0.13</v>
      </c>
      <c r="E11" s="31" t="n">
        <f aca="false">D11-C11</f>
        <v>0.08</v>
      </c>
      <c r="F11" s="13" t="s">
        <v>18</v>
      </c>
    </row>
    <row r="12" customFormat="false" ht="21.75" hidden="false" customHeight="true" outlineLevel="0" collapsed="false">
      <c r="A12" s="23" t="s">
        <v>95</v>
      </c>
      <c r="B12" s="23" t="s">
        <v>96</v>
      </c>
      <c r="C12" s="24" t="n">
        <v>0.8</v>
      </c>
      <c r="D12" s="24" t="n">
        <v>0.55</v>
      </c>
      <c r="E12" s="33" t="n">
        <f aca="false">D12-C12</f>
        <v>-0.25</v>
      </c>
      <c r="F12" s="13" t="s">
        <v>18</v>
      </c>
    </row>
    <row r="13" customFormat="false" ht="21.75" hidden="false" customHeight="true" outlineLevel="0" collapsed="false">
      <c r="A13" s="19" t="s">
        <v>97</v>
      </c>
      <c r="B13" s="19" t="s">
        <v>98</v>
      </c>
      <c r="C13" s="21" t="n">
        <v>1</v>
      </c>
      <c r="D13" s="21" t="n">
        <v>0.38</v>
      </c>
      <c r="E13" s="34" t="n">
        <f aca="false">D13-C13</f>
        <v>-0.62</v>
      </c>
      <c r="F13" s="12" t="s">
        <v>15</v>
      </c>
    </row>
    <row r="14" customFormat="false" ht="21.75" hidden="false" customHeight="true" outlineLevel="0" collapsed="false">
      <c r="A14" s="23" t="s">
        <v>99</v>
      </c>
      <c r="B14" s="23" t="s">
        <v>100</v>
      </c>
      <c r="C14" s="32" t="n">
        <v>45</v>
      </c>
      <c r="D14" s="32" t="n">
        <v>38</v>
      </c>
      <c r="E14" s="33" t="n">
        <f aca="false">D14-C14</f>
        <v>-7</v>
      </c>
      <c r="F14" s="12" t="s">
        <v>15</v>
      </c>
    </row>
    <row r="17" customFormat="false" ht="15" hidden="false" customHeight="false" outlineLevel="0" collapsed="false">
      <c r="A17" s="35" t="s">
        <v>101</v>
      </c>
      <c r="B17" s="35"/>
      <c r="C17" s="35"/>
      <c r="D17" s="35"/>
      <c r="E17" s="35"/>
      <c r="F17" s="35"/>
    </row>
  </sheetData>
  <mergeCells count="3">
    <mergeCell ref="A1:F1"/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2026-05-03T21:04:19Z</dcterms:created>
  <dc:creator>openpyxl</dc:creator>
  <dc:description/>
  <dc:language>en-US</dc:language>
  <cp:lastModifiedBy/>
  <dcterms:modified xsi:type="dcterms:W3CDTF">2026-05-03T21:04:19Z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